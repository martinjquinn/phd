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@develop\phd\"/>
    </mc:Choice>
  </mc:AlternateContent>
  <bookViews>
    <workbookView xWindow="0" yWindow="0" windowWidth="20160" windowHeight="9324" activeTab="5"/>
  </bookViews>
  <sheets>
    <sheet name="Data" sheetId="1" r:id="rId1"/>
    <sheet name="HiddenLayer" sheetId="13" r:id="rId2"/>
    <sheet name="Output" sheetId="14" r:id="rId3"/>
    <sheet name="Summary" sheetId="15" r:id="rId4"/>
    <sheet name="NN" sheetId="10" r:id="rId5"/>
    <sheet name="Parameters" sheetId="2" r:id="rId6"/>
  </sheets>
  <functionGroups builtInGroupCount="18"/>
  <definedNames>
    <definedName name="HiddenLayerSize">Parameters!$B$2</definedName>
    <definedName name="InputLayerSize">Parameters!$B$1</definedName>
    <definedName name="OutputLayerSize">Parameters!$B$3</definedName>
    <definedName name="W">HiddenLayer!$A$7:$C$8</definedName>
    <definedName name="W_1">HiddenLayer!$A$7:$A$8</definedName>
    <definedName name="W_2">HiddenLayer!$B$7:$B$8</definedName>
    <definedName name="W_3">HiddenLayer!$C$7:$C$8</definedName>
    <definedName name="W1_">HiddenLayer!$A$7:$C$7</definedName>
    <definedName name="W2_">HiddenLayer!$A$8:$C$8</definedName>
    <definedName name="X">Output!$A$7:$A$9</definedName>
    <definedName name="X_1">Output!$A$7</definedName>
    <definedName name="X_2">Output!$A$8</definedName>
    <definedName name="X_3">Output!$A$9</definedName>
    <definedName name="X1_">Output!$A$7:$A$9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A2" i="13"/>
  <c r="A3" i="13"/>
  <c r="A4" i="13"/>
  <c r="B2" i="13"/>
  <c r="B3" i="13"/>
  <c r="B4" i="13"/>
  <c r="C2" i="13"/>
  <c r="C3" i="13"/>
  <c r="C4" i="13"/>
  <c r="G3" i="13"/>
  <c r="I2" i="13"/>
  <c r="G4" i="13"/>
  <c r="D3" i="13"/>
  <c r="I4" i="13"/>
  <c r="F3" i="13"/>
  <c r="H2" i="13"/>
  <c r="F4" i="13"/>
  <c r="F2" i="13"/>
  <c r="H3" i="13"/>
  <c r="E2" i="13"/>
  <c r="H4" i="13"/>
  <c r="E3" i="13"/>
  <c r="G2" i="13"/>
  <c r="E4" i="13"/>
  <c r="D2" i="13"/>
  <c r="I3" i="13"/>
  <c r="D4" i="13"/>
  <c r="A4" i="14" l="1"/>
  <c r="A2" i="14"/>
  <c r="A3" i="14"/>
  <c r="Z2" i="1"/>
  <c r="AD2" i="1" s="1"/>
  <c r="Z3" i="1"/>
  <c r="AD3" i="1" s="1"/>
  <c r="Z4" i="1"/>
  <c r="AD4" i="1" s="1"/>
  <c r="B2" i="14"/>
  <c r="C2" i="14"/>
  <c r="B3" i="14"/>
  <c r="C3" i="14"/>
  <c r="C4" i="14"/>
  <c r="B4" i="14"/>
  <c r="AC2" i="1" l="1"/>
  <c r="AB2" i="1"/>
  <c r="AC4" i="1"/>
  <c r="AB4" i="1"/>
  <c r="AB3" i="1"/>
  <c r="AC3" i="1"/>
</calcChain>
</file>

<file path=xl/sharedStrings.xml><?xml version="1.0" encoding="utf-8"?>
<sst xmlns="http://schemas.openxmlformats.org/spreadsheetml/2006/main" count="22" uniqueCount="22">
  <si>
    <t>InputLayerSize</t>
  </si>
  <si>
    <t>OutputLayerSize</t>
  </si>
  <si>
    <t>HiddenLayerSize</t>
  </si>
  <si>
    <t>X1</t>
  </si>
  <si>
    <t>X2</t>
  </si>
  <si>
    <t>Y_1</t>
  </si>
  <si>
    <t>Y1</t>
  </si>
  <si>
    <t>J</t>
  </si>
  <si>
    <t>dJ/dY</t>
  </si>
  <si>
    <t>HLi_1</t>
  </si>
  <si>
    <t>HLi_2</t>
  </si>
  <si>
    <t>HLi_3</t>
  </si>
  <si>
    <t>sHL_1</t>
  </si>
  <si>
    <t>sHL_2</t>
  </si>
  <si>
    <t>sHL_3</t>
  </si>
  <si>
    <t>dHL_1</t>
  </si>
  <si>
    <t>dHL_2</t>
  </si>
  <si>
    <t>dHL_3</t>
  </si>
  <si>
    <t>Cost_1</t>
  </si>
  <si>
    <t>OLi1</t>
  </si>
  <si>
    <t>sOL1</t>
  </si>
  <si>
    <t>dOL1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</si>
</sst>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198120</xdr:colOff>
          <xdr:row>0</xdr:row>
          <xdr:rowOff>80683</xdr:rowOff>
        </xdr:from>
        <xdr:to>
          <xdr:col>34</xdr:col>
          <xdr:colOff>161364</xdr:colOff>
          <xdr:row>2</xdr:row>
          <xdr:rowOff>137161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Network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38</xdr:row>
      <xdr:rowOff>79829</xdr:rowOff>
    </xdr:to>
    <xdr:grpSp>
      <xdr:nvGrpSpPr>
        <xdr:cNvPr id="888" name="NeuralNet"/>
        <xdr:cNvGrpSpPr/>
      </xdr:nvGrpSpPr>
      <xdr:grpSpPr>
        <a:xfrm>
          <a:off x="127000" y="127000"/>
          <a:ext cx="7620000" cy="6985000"/>
          <a:chOff x="127000" y="127000"/>
          <a:chExt cx="7620000" cy="6985000"/>
        </a:xfrm>
      </xdr:grpSpPr>
      <xdr:grpSp>
        <xdr:nvGrpSpPr>
          <xdr:cNvPr id="881" name="Input"/>
          <xdr:cNvGrpSpPr/>
        </xdr:nvGrpSpPr>
        <xdr:grpSpPr>
          <a:xfrm>
            <a:off x="127000" y="2032000"/>
            <a:ext cx="1270000" cy="3175000"/>
            <a:chOff x="127000" y="127000"/>
            <a:chExt cx="1270000" cy="3175000"/>
          </a:xfrm>
        </xdr:grpSpPr>
        <xdr:sp macro="" textlink="">
          <xdr:nvSpPr>
            <xdr:cNvPr id="879" name="Input1"/>
            <xdr:cNvSpPr/>
          </xdr:nvSpPr>
          <xdr:spPr>
            <a:xfrm>
              <a:off x="127000" y="127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10</a:t>
              </a:r>
            </a:p>
          </xdr:txBody>
        </xdr:sp>
        <xdr:sp macro="" textlink="">
          <xdr:nvSpPr>
            <xdr:cNvPr id="880" name="Input2"/>
            <xdr:cNvSpPr/>
          </xdr:nvSpPr>
          <xdr:spPr>
            <a:xfrm>
              <a:off x="127000" y="2032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2</a:t>
              </a:r>
            </a:p>
          </xdr:txBody>
        </xdr:sp>
      </xdr:grpSp>
      <xdr:grpSp>
        <xdr:nvGrpSpPr>
          <xdr:cNvPr id="886" name="Layer"/>
          <xdr:cNvGrpSpPr/>
        </xdr:nvGrpSpPr>
        <xdr:grpSpPr>
          <a:xfrm>
            <a:off x="3302000" y="127000"/>
            <a:ext cx="1270000" cy="6985000"/>
            <a:chOff x="3302000" y="127000"/>
            <a:chExt cx="1270000" cy="6985000"/>
          </a:xfrm>
        </xdr:grpSpPr>
        <xdr:sp macro="" textlink="">
          <xdr:nvSpPr>
            <xdr:cNvPr id="882" name="Layer1"/>
            <xdr:cNvSpPr/>
          </xdr:nvSpPr>
          <xdr:spPr>
            <a:xfrm>
              <a:off x="3302000" y="127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0, 0, 0</a:t>
              </a:r>
            </a:p>
          </xdr:txBody>
        </xdr:sp>
        <xdr:sp macro="" textlink="">
          <xdr:nvSpPr>
            <xdr:cNvPr id="883" name="Layer2"/>
            <xdr:cNvSpPr/>
          </xdr:nvSpPr>
          <xdr:spPr>
            <a:xfrm>
              <a:off x="3302000" y="2032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0, 0, 0</a:t>
              </a:r>
            </a:p>
          </xdr:txBody>
        </xdr:sp>
        <xdr:sp macro="" textlink="">
          <xdr:nvSpPr>
            <xdr:cNvPr id="884" name="Layer3"/>
            <xdr:cNvSpPr/>
          </xdr:nvSpPr>
          <xdr:spPr>
            <a:xfrm>
              <a:off x="3302000" y="3937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0, 0, 0</a:t>
              </a:r>
            </a:p>
          </xdr:txBody>
        </xdr:sp>
        <xdr:sp macro="" textlink="">
          <xdr:nvSpPr>
            <xdr:cNvPr id="885" name="Layer4"/>
            <xdr:cNvSpPr/>
          </xdr:nvSpPr>
          <xdr:spPr>
            <a:xfrm>
              <a:off x="3302000" y="5842000"/>
              <a:ext cx="1270000" cy="1270000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/>
                <a:t>0, 0, 0</a:t>
              </a:r>
            </a:p>
          </xdr:txBody>
        </xdr:sp>
      </xdr:grpSp>
      <xdr:sp macro="" textlink="">
        <xdr:nvSpPr>
          <xdr:cNvPr id="887" name="Output1"/>
          <xdr:cNvSpPr/>
        </xdr:nvSpPr>
        <xdr:spPr>
          <a:xfrm>
            <a:off x="6477000" y="2984500"/>
            <a:ext cx="1270000" cy="127000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/>
              <a:t>0.46 [93]</a:t>
            </a:r>
          </a:p>
        </xdr:txBody>
      </xdr:sp>
    </xdr:grpSp>
    <xdr:clientData/>
  </xdr:twoCellAnchor>
  <xdr:twoCellAnchor>
    <xdr:from>
      <xdr:col>2</xdr:col>
      <xdr:colOff>177800</xdr:colOff>
      <xdr:row>4</xdr:row>
      <xdr:rowOff>21771</xdr:rowOff>
    </xdr:from>
    <xdr:to>
      <xdr:col>5</xdr:col>
      <xdr:colOff>254000</xdr:colOff>
      <xdr:row>14</xdr:row>
      <xdr:rowOff>76200</xdr:rowOff>
    </xdr:to>
    <xdr:cxnSp macro="">
      <xdr:nvCxnSpPr>
        <xdr:cNvPr id="889" name="W_Input1_Layer1"/>
        <xdr:cNvCxnSpPr>
          <a:stCxn id="879" idx="6"/>
          <a:endCxn id="882" idx="2"/>
        </xdr:cNvCxnSpPr>
      </xdr:nvCxnSpPr>
      <xdr:spPr>
        <a:xfrm flipV="1">
          <a:off x="1397000" y="762000"/>
          <a:ext cx="190500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14</xdr:row>
      <xdr:rowOff>76200</xdr:rowOff>
    </xdr:from>
    <xdr:to>
      <xdr:col>5</xdr:col>
      <xdr:colOff>254000</xdr:colOff>
      <xdr:row>14</xdr:row>
      <xdr:rowOff>76200</xdr:rowOff>
    </xdr:to>
    <xdr:cxnSp macro="">
      <xdr:nvCxnSpPr>
        <xdr:cNvPr id="890" name="W_Input1_Layer2"/>
        <xdr:cNvCxnSpPr>
          <a:stCxn id="879" idx="6"/>
          <a:endCxn id="883" idx="2"/>
        </xdr:cNvCxnSpPr>
      </xdr:nvCxnSpPr>
      <xdr:spPr>
        <a:xfrm>
          <a:off x="1397000" y="2667000"/>
          <a:ext cx="19050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14</xdr:row>
      <xdr:rowOff>76200</xdr:rowOff>
    </xdr:from>
    <xdr:to>
      <xdr:col>5</xdr:col>
      <xdr:colOff>254000</xdr:colOff>
      <xdr:row>24</xdr:row>
      <xdr:rowOff>130629</xdr:rowOff>
    </xdr:to>
    <xdr:cxnSp macro="">
      <xdr:nvCxnSpPr>
        <xdr:cNvPr id="891" name="W_Input1_Layer3"/>
        <xdr:cNvCxnSpPr>
          <a:stCxn id="879" idx="6"/>
          <a:endCxn id="884" idx="2"/>
        </xdr:cNvCxnSpPr>
      </xdr:nvCxnSpPr>
      <xdr:spPr>
        <a:xfrm>
          <a:off x="1397000" y="2667000"/>
          <a:ext cx="190500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14</xdr:row>
      <xdr:rowOff>76200</xdr:rowOff>
    </xdr:from>
    <xdr:to>
      <xdr:col>5</xdr:col>
      <xdr:colOff>254000</xdr:colOff>
      <xdr:row>35</xdr:row>
      <xdr:rowOff>0</xdr:rowOff>
    </xdr:to>
    <xdr:cxnSp macro="">
      <xdr:nvCxnSpPr>
        <xdr:cNvPr id="892" name="W_Input1_Layer4"/>
        <xdr:cNvCxnSpPr>
          <a:stCxn id="879" idx="6"/>
          <a:endCxn id="885" idx="2"/>
        </xdr:cNvCxnSpPr>
      </xdr:nvCxnSpPr>
      <xdr:spPr>
        <a:xfrm>
          <a:off x="1397000" y="2667000"/>
          <a:ext cx="1905000" cy="381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4</xdr:row>
      <xdr:rowOff>21771</xdr:rowOff>
    </xdr:from>
    <xdr:to>
      <xdr:col>5</xdr:col>
      <xdr:colOff>254000</xdr:colOff>
      <xdr:row>24</xdr:row>
      <xdr:rowOff>130629</xdr:rowOff>
    </xdr:to>
    <xdr:cxnSp macro="">
      <xdr:nvCxnSpPr>
        <xdr:cNvPr id="893" name="W_Input2_Layer1"/>
        <xdr:cNvCxnSpPr>
          <a:stCxn id="880" idx="6"/>
          <a:endCxn id="882" idx="2"/>
        </xdr:cNvCxnSpPr>
      </xdr:nvCxnSpPr>
      <xdr:spPr>
        <a:xfrm flipV="1">
          <a:off x="1397000" y="762000"/>
          <a:ext cx="1905000" cy="3810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14</xdr:row>
      <xdr:rowOff>76200</xdr:rowOff>
    </xdr:from>
    <xdr:to>
      <xdr:col>5</xdr:col>
      <xdr:colOff>254000</xdr:colOff>
      <xdr:row>24</xdr:row>
      <xdr:rowOff>130629</xdr:rowOff>
    </xdr:to>
    <xdr:cxnSp macro="">
      <xdr:nvCxnSpPr>
        <xdr:cNvPr id="894" name="W_Input2_Layer2"/>
        <xdr:cNvCxnSpPr>
          <a:stCxn id="880" idx="6"/>
          <a:endCxn id="883" idx="2"/>
        </xdr:cNvCxnSpPr>
      </xdr:nvCxnSpPr>
      <xdr:spPr>
        <a:xfrm flipV="1">
          <a:off x="1397000" y="2667000"/>
          <a:ext cx="190500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24</xdr:row>
      <xdr:rowOff>130629</xdr:rowOff>
    </xdr:from>
    <xdr:to>
      <xdr:col>5</xdr:col>
      <xdr:colOff>254000</xdr:colOff>
      <xdr:row>24</xdr:row>
      <xdr:rowOff>130629</xdr:rowOff>
    </xdr:to>
    <xdr:cxnSp macro="">
      <xdr:nvCxnSpPr>
        <xdr:cNvPr id="895" name="W_Input2_Layer3"/>
        <xdr:cNvCxnSpPr>
          <a:stCxn id="880" idx="6"/>
          <a:endCxn id="884" idx="2"/>
        </xdr:cNvCxnSpPr>
      </xdr:nvCxnSpPr>
      <xdr:spPr>
        <a:xfrm>
          <a:off x="1397000" y="4572000"/>
          <a:ext cx="19050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24</xdr:row>
      <xdr:rowOff>130629</xdr:rowOff>
    </xdr:from>
    <xdr:to>
      <xdr:col>5</xdr:col>
      <xdr:colOff>254000</xdr:colOff>
      <xdr:row>35</xdr:row>
      <xdr:rowOff>0</xdr:rowOff>
    </xdr:to>
    <xdr:cxnSp macro="">
      <xdr:nvCxnSpPr>
        <xdr:cNvPr id="896" name="W_Input2_Layer4"/>
        <xdr:cNvCxnSpPr>
          <a:stCxn id="880" idx="6"/>
          <a:endCxn id="885" idx="2"/>
        </xdr:cNvCxnSpPr>
      </xdr:nvCxnSpPr>
      <xdr:spPr>
        <a:xfrm>
          <a:off x="1397000" y="4572000"/>
          <a:ext cx="190500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4</xdr:row>
      <xdr:rowOff>21771</xdr:rowOff>
    </xdr:from>
    <xdr:to>
      <xdr:col>10</xdr:col>
      <xdr:colOff>381000</xdr:colOff>
      <xdr:row>19</xdr:row>
      <xdr:rowOff>103414</xdr:rowOff>
    </xdr:to>
    <xdr:cxnSp macro="">
      <xdr:nvCxnSpPr>
        <xdr:cNvPr id="897" name="W_Layer1_Output1"/>
        <xdr:cNvCxnSpPr>
          <a:stCxn id="882" idx="6"/>
          <a:endCxn id="887" idx="2"/>
        </xdr:cNvCxnSpPr>
      </xdr:nvCxnSpPr>
      <xdr:spPr>
        <a:xfrm>
          <a:off x="4572000" y="762000"/>
          <a:ext cx="1905000" cy="2857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14</xdr:row>
      <xdr:rowOff>76200</xdr:rowOff>
    </xdr:from>
    <xdr:to>
      <xdr:col>10</xdr:col>
      <xdr:colOff>381000</xdr:colOff>
      <xdr:row>19</xdr:row>
      <xdr:rowOff>103414</xdr:rowOff>
    </xdr:to>
    <xdr:cxnSp macro="">
      <xdr:nvCxnSpPr>
        <xdr:cNvPr id="898" name="W_Layer2_Output1"/>
        <xdr:cNvCxnSpPr>
          <a:stCxn id="883" idx="6"/>
          <a:endCxn id="887" idx="2"/>
        </xdr:cNvCxnSpPr>
      </xdr:nvCxnSpPr>
      <xdr:spPr>
        <a:xfrm>
          <a:off x="4572000" y="2667000"/>
          <a:ext cx="1905000" cy="952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19</xdr:row>
      <xdr:rowOff>103414</xdr:rowOff>
    </xdr:from>
    <xdr:to>
      <xdr:col>10</xdr:col>
      <xdr:colOff>381000</xdr:colOff>
      <xdr:row>24</xdr:row>
      <xdr:rowOff>130629</xdr:rowOff>
    </xdr:to>
    <xdr:cxnSp macro="">
      <xdr:nvCxnSpPr>
        <xdr:cNvPr id="899" name="W_Layer3_Output1"/>
        <xdr:cNvCxnSpPr>
          <a:stCxn id="884" idx="6"/>
          <a:endCxn id="887" idx="2"/>
        </xdr:cNvCxnSpPr>
      </xdr:nvCxnSpPr>
      <xdr:spPr>
        <a:xfrm flipV="1">
          <a:off x="4572000" y="3619500"/>
          <a:ext cx="1905000" cy="952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19</xdr:row>
      <xdr:rowOff>103414</xdr:rowOff>
    </xdr:from>
    <xdr:to>
      <xdr:col>10</xdr:col>
      <xdr:colOff>381000</xdr:colOff>
      <xdr:row>35</xdr:row>
      <xdr:rowOff>0</xdr:rowOff>
    </xdr:to>
    <xdr:cxnSp macro="">
      <xdr:nvCxnSpPr>
        <xdr:cNvPr id="900" name="W_Layer4_Output1"/>
        <xdr:cNvCxnSpPr>
          <a:stCxn id="885" idx="6"/>
          <a:endCxn id="887" idx="2"/>
        </xdr:cNvCxnSpPr>
      </xdr:nvCxnSpPr>
      <xdr:spPr>
        <a:xfrm flipV="1">
          <a:off x="4572000" y="3619500"/>
          <a:ext cx="1905000" cy="2857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InputLayer" displayName="InputLayer" ref="A1:B4" totalsRowShown="0">
  <autoFilter ref="A1:B4"/>
  <tableColumns count="2">
    <tableColumn id="1" name="X1" dataDxfId="19"/>
    <tableColumn id="2" name="X2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OutputLayer" displayName="OutputLayer" ref="Z1:AD4" totalsRowShown="0" dataDxfId="13">
  <autoFilter ref="Z1:AD4"/>
  <tableColumns count="5">
    <tableColumn id="1" name="Y_1" dataDxfId="17">
      <calculatedColumnFormula>MMULT(#REF!,#REF!)</calculatedColumnFormula>
    </tableColumn>
    <tableColumn id="2" name="Y1" dataDxfId="16"/>
    <tableColumn id="3" name="J" dataDxfId="15">
      <calculatedColumnFormula>0.5*(#REF!-#REF!)^2</calculatedColumnFormula>
    </tableColumn>
    <tableColumn id="4" name="dJ/dY" dataDxfId="14">
      <calculatedColumnFormula>#REF!-#REF!</calculatedColumnFormula>
    </tableColumn>
    <tableColumn id="5" name="Cost_1" dataDxfId="12">
      <calculatedColumnFormula>0.5*(OutputLayer[[#This Row],[Y1]]-OutputLayer[[#This Row],[Y_1]])^2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HiddenLayer" displayName="HiddenLayer" ref="A1:I4" totalsRowShown="0">
  <autoFilter ref="A1:I4"/>
  <tableColumns count="9">
    <tableColumn id="1" name="HLi_1" dataDxfId="9">
      <calculatedColumnFormula>MMULT(InputLayer[#This Row],W_1)</calculatedColumnFormula>
    </tableColumn>
    <tableColumn id="2" name="HLi_2" dataDxfId="10">
      <calculatedColumnFormula>MMULT(InputLayer[#This Row],W_2)</calculatedColumnFormula>
    </tableColumn>
    <tableColumn id="31" name="HLi_3" dataDxfId="11">
      <calculatedColumnFormula>MMULT(InputLayer[#This Row],W_3)</calculatedColumnFormula>
    </tableColumn>
    <tableColumn id="13" name="sHL_1" dataDxfId="8">
      <calculatedColumnFormula>afSigmoid(HiddenLayer[[#This Row],[HLi_1]])</calculatedColumnFormula>
    </tableColumn>
    <tableColumn id="14" name="sHL_2" dataDxfId="7">
      <calculatedColumnFormula>afSigmoid(HiddenLayer[[#This Row],[HLi_2]])</calculatedColumnFormula>
    </tableColumn>
    <tableColumn id="15" name="sHL_3" dataDxfId="6">
      <calculatedColumnFormula>afSigmoid(HiddenLayer[[#This Row],[HLi_3]])</calculatedColumnFormula>
    </tableColumn>
    <tableColumn id="30" name="dHL_1" dataDxfId="5">
      <calculatedColumnFormula>dafSigmoid(HiddenLayer[[#This Row],[HLi_1]])</calculatedColumnFormula>
    </tableColumn>
    <tableColumn id="10" name="dHL_2" dataDxfId="4">
      <calculatedColumnFormula>dafSigmoid(HiddenLayer[[#This Row],[HLi_2]])</calculatedColumnFormula>
    </tableColumn>
    <tableColumn id="11" name="dHL_3" dataDxfId="3">
      <calculatedColumnFormula>dafSigmoid(HiddenLayer[[#This Row],[HLi_3]])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1:C4" totalsRowShown="0">
  <autoFilter ref="A1:C4"/>
  <tableColumns count="3">
    <tableColumn id="1" name="OLi1" dataDxfId="2">
      <calculatedColumnFormula>MMULT(HiddenLayer[[#This Row],[sHL_1]:[sHL_3]],X1_)</calculatedColumnFormula>
    </tableColumn>
    <tableColumn id="2" name="sOL1" dataDxfId="1">
      <calculatedColumnFormula>afSigmoid(Table6[[#This Row],[OLi1]])</calculatedColumnFormula>
    </tableColumn>
    <tableColumn id="3" name="dOL1" dataDxfId="0">
      <calculatedColumnFormula>dafSigmoid(Table6[[#This Row],[OLi1]])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"/>
  <sheetViews>
    <sheetView zoomScaleNormal="100" workbookViewId="0">
      <selection activeCell="E8" sqref="E8"/>
    </sheetView>
  </sheetViews>
  <sheetFormatPr defaultRowHeight="14.4" x14ac:dyDescent="0.3"/>
  <cols>
    <col min="1" max="2" width="6.109375" customWidth="1"/>
  </cols>
  <sheetData>
    <row r="1" spans="1:30" x14ac:dyDescent="0.3">
      <c r="A1" t="s">
        <v>3</v>
      </c>
      <c r="B1" t="s">
        <v>4</v>
      </c>
      <c r="Z1" t="s">
        <v>5</v>
      </c>
      <c r="AA1" t="s">
        <v>6</v>
      </c>
      <c r="AB1" t="s">
        <v>7</v>
      </c>
      <c r="AC1" t="s">
        <v>8</v>
      </c>
      <c r="AD1" t="s">
        <v>18</v>
      </c>
    </row>
    <row r="2" spans="1:30" x14ac:dyDescent="0.3">
      <c r="A2" s="1">
        <v>3</v>
      </c>
      <c r="B2" s="1">
        <v>5</v>
      </c>
      <c r="C2" s="1"/>
      <c r="Y2" s="1"/>
      <c r="Z2" s="1" t="e">
        <f>MMULT(#REF!,#REF!)</f>
        <v>#REF!</v>
      </c>
      <c r="AA2" s="1">
        <v>75</v>
      </c>
      <c r="AB2" s="1" t="e">
        <f>0.5*(#REF!-#REF!)^2</f>
        <v>#REF!</v>
      </c>
      <c r="AC2" s="1" t="e">
        <f>#REF!-#REF!</f>
        <v>#REF!</v>
      </c>
      <c r="AD2" s="1" t="e">
        <f>0.5*(OutputLayer[[#This Row],[Y1]]-OutputLayer[[#This Row],[Y_1]])^2</f>
        <v>#REF!</v>
      </c>
    </row>
    <row r="3" spans="1:30" x14ac:dyDescent="0.3">
      <c r="A3" s="1">
        <v>5</v>
      </c>
      <c r="B3" s="1">
        <v>1</v>
      </c>
      <c r="C3" s="1"/>
      <c r="Y3" s="1"/>
      <c r="Z3" s="1" t="e">
        <f>MMULT(#REF!,#REF!)</f>
        <v>#REF!</v>
      </c>
      <c r="AA3" s="1">
        <v>82</v>
      </c>
      <c r="AB3" s="1" t="e">
        <f>0.5*(#REF!-#REF!)^2</f>
        <v>#REF!</v>
      </c>
      <c r="AC3" s="1" t="e">
        <f>#REF!-#REF!</f>
        <v>#REF!</v>
      </c>
      <c r="AD3" s="1" t="e">
        <f>0.5*(OutputLayer[[#This Row],[Y1]]-OutputLayer[[#This Row],[Y_1]])^2</f>
        <v>#REF!</v>
      </c>
    </row>
    <row r="4" spans="1:30" x14ac:dyDescent="0.3">
      <c r="A4" s="1">
        <v>10</v>
      </c>
      <c r="B4" s="1">
        <v>2</v>
      </c>
      <c r="C4" s="1"/>
      <c r="Y4" s="1"/>
      <c r="Z4" s="1" t="e">
        <f>MMULT(#REF!,#REF!)</f>
        <v>#REF!</v>
      </c>
      <c r="AA4" s="1">
        <v>93</v>
      </c>
      <c r="AB4" s="1" t="e">
        <f>0.5*(#REF!-#REF!)^2</f>
        <v>#REF!</v>
      </c>
      <c r="AC4" s="1" t="e">
        <f>#REF!-#REF!</f>
        <v>#REF!</v>
      </c>
      <c r="AD4" s="1" t="e">
        <f>0.5*(OutputLayer[[#This Row],[Y1]]-OutputLayer[[#This Row],[Y_1]])^2</f>
        <v>#REF!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Parameters">
                <anchor moveWithCells="1">
                  <from>
                    <xdr:col>32</xdr:col>
                    <xdr:colOff>198120</xdr:colOff>
                    <xdr:row>0</xdr:row>
                    <xdr:rowOff>83820</xdr:rowOff>
                  </from>
                  <to>
                    <xdr:col>34</xdr:col>
                    <xdr:colOff>160020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"/>
  <sheetViews>
    <sheetView workbookViewId="0">
      <selection activeCell="K22" sqref="K22"/>
    </sheetView>
  </sheetViews>
  <sheetFormatPr defaultRowHeight="14.4" x14ac:dyDescent="0.3"/>
  <cols>
    <col min="1" max="4" width="7.109375" customWidth="1"/>
    <col min="7" max="9" width="7.109375" customWidth="1"/>
  </cols>
  <sheetData>
    <row r="1" spans="1:9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</row>
    <row r="2" spans="1:9" x14ac:dyDescent="0.3">
      <c r="A2" s="1">
        <f>MMULT(InputLayer[#This Row],W_1)</f>
        <v>2.9211300306018742</v>
      </c>
      <c r="B2" s="1">
        <f>MMULT(InputLayer[#This Row],W_2)</f>
        <v>5.5877826159689352</v>
      </c>
      <c r="C2" s="1">
        <f>MMULT(InputLayer[#This Row],W_3)</f>
        <v>3.1167914130665073</v>
      </c>
      <c r="D2" s="1">
        <f>afSigmoid(HiddenLayer[[#This Row],[HLi_1]])</f>
        <v>0.94888113984557265</v>
      </c>
      <c r="E2" s="1">
        <f>afSigmoid(HiddenLayer[[#This Row],[HLi_2]])</f>
        <v>0.99627064113526442</v>
      </c>
      <c r="F2" s="1">
        <f>afSigmoid(HiddenLayer[[#This Row],[HLi_3]])</f>
        <v>0.9575800850481494</v>
      </c>
      <c r="G2" s="1">
        <f>dafSigmoid(HiddenLayer[[#This Row],[HLi_1]])</f>
        <v>4.8505722290939447E-2</v>
      </c>
      <c r="H2" s="1">
        <f>dafSigmoid(HiddenLayer[[#This Row],[HLi_2]])</f>
        <v>3.7154507471935951E-3</v>
      </c>
      <c r="I2" s="1">
        <f>dafSigmoid(HiddenLayer[[#This Row],[HLi_3]])</f>
        <v>4.0620465767328362E-2</v>
      </c>
    </row>
    <row r="3" spans="1:9" x14ac:dyDescent="0.3">
      <c r="A3" s="1">
        <f>MMULT(InputLayer[#This Row],W_1)</f>
        <v>0.69779756764896306</v>
      </c>
      <c r="B3" s="1">
        <f>MMULT(InputLayer[#This Row],W_2)</f>
        <v>3.4721735596131817</v>
      </c>
      <c r="C3" s="1">
        <f>MMULT(InputLayer[#This Row],W_3)</f>
        <v>1.3592205283979637</v>
      </c>
      <c r="D3" s="1">
        <f>afSigmoid(HiddenLayer[[#This Row],[HLi_1]])</f>
        <v>0.6676992838139173</v>
      </c>
      <c r="E3" s="1">
        <f>afSigmoid(HiddenLayer[[#This Row],[HLi_2]])</f>
        <v>0.9698855677515611</v>
      </c>
      <c r="F3" s="1">
        <f>afSigmoid(HiddenLayer[[#This Row],[HLi_3]])</f>
        <v>0.79563298395177573</v>
      </c>
      <c r="G3" s="1">
        <f>dafSigmoid(HiddenLayer[[#This Row],[HLi_1]])</f>
        <v>0.22187695020829923</v>
      </c>
      <c r="H3" s="1">
        <f>dafSigmoid(HiddenLayer[[#This Row],[HLi_2]])</f>
        <v>2.9207553218793088E-2</v>
      </c>
      <c r="I3" s="1">
        <f>dafSigmoid(HiddenLayer[[#This Row],[HLi_3]])</f>
        <v>0.16260113879976912</v>
      </c>
    </row>
    <row r="4" spans="1:9" x14ac:dyDescent="0.3">
      <c r="A4" s="1">
        <f>MMULT(InputLayer[#This Row],W_1)</f>
        <v>1.3955951352979261</v>
      </c>
      <c r="B4" s="1">
        <f>MMULT(InputLayer[#This Row],W_2)</f>
        <v>6.9443471192263635</v>
      </c>
      <c r="C4" s="1">
        <f>MMULT(InputLayer[#This Row],W_3)</f>
        <v>2.7184410567959274</v>
      </c>
      <c r="D4" s="1">
        <f>afSigmoid(HiddenLayer[[#This Row],[HLi_1]])</f>
        <v>0.80148397254293569</v>
      </c>
      <c r="E4" s="1">
        <f>afSigmoid(HiddenLayer[[#This Row],[HLi_2]])</f>
        <v>0.99903685898547634</v>
      </c>
      <c r="F4" s="1">
        <f>afSigmoid(HiddenLayer[[#This Row],[HLi_3]])</f>
        <v>0.93810607851508276</v>
      </c>
      <c r="G4" s="1">
        <f>dafSigmoid(HiddenLayer[[#This Row],[HLi_1]])</f>
        <v>0.15910741429973041</v>
      </c>
      <c r="H4" s="1">
        <f>dafSigmoid(HiddenLayer[[#This Row],[HLi_2]])</f>
        <v>9.6221337390980303E-4</v>
      </c>
      <c r="I4" s="1">
        <f>dafSigmoid(HiddenLayer[[#This Row],[HLi_3]])</f>
        <v>5.8063063968136139E-2</v>
      </c>
    </row>
    <row r="7" spans="1:9" x14ac:dyDescent="0.3">
      <c r="A7">
        <v>2.5811718529224592E-2</v>
      </c>
      <c r="B7">
        <v>0.53514023554986245</v>
      </c>
      <c r="C7">
        <v>0.16724141949651417</v>
      </c>
    </row>
    <row r="8" spans="1:9" x14ac:dyDescent="0.3">
      <c r="A8">
        <v>0.5687389750028401</v>
      </c>
      <c r="B8">
        <v>0.79647238186386959</v>
      </c>
      <c r="C8">
        <v>0.52301343091539299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19</v>
      </c>
      <c r="B1" t="s">
        <v>20</v>
      </c>
      <c r="C1" t="s">
        <v>21</v>
      </c>
    </row>
    <row r="2" spans="1:3" x14ac:dyDescent="0.3">
      <c r="A2">
        <f>MMULT(HiddenLayer[[#This Row],[sHL_1]:[sHL_3]],X1_)</f>
        <v>1.035356944821058</v>
      </c>
      <c r="B2" s="2">
        <f>afSigmoid(Table6[[#This Row],[OLi1]])</f>
        <v>0.73795313243925331</v>
      </c>
      <c r="C2" s="2">
        <f>dafSigmoid(Table6[[#This Row],[OLi1]])</f>
        <v>0.19337830676234719</v>
      </c>
    </row>
    <row r="3" spans="1:3" x14ac:dyDescent="0.3">
      <c r="A3">
        <f>MMULT(HiddenLayer[[#This Row],[sHL_1]:[sHL_3]],X1_)</f>
        <v>0.88795542053473286</v>
      </c>
      <c r="B3" s="2">
        <f>afSigmoid(Table6[[#This Row],[OLi1]])</f>
        <v>0.70846806300499809</v>
      </c>
      <c r="C3" s="2">
        <f>dafSigmoid(Table6[[#This Row],[OLi1]])</f>
        <v>0.20654106670694414</v>
      </c>
    </row>
    <row r="4" spans="1:3" x14ac:dyDescent="0.3">
      <c r="A4">
        <f>MMULT(HiddenLayer[[#This Row],[sHL_1]:[sHL_3]],X1_)</f>
        <v>0.99769952431962006</v>
      </c>
      <c r="B4" s="2">
        <f>afSigmoid(Table6[[#This Row],[OLi1]])</f>
        <v>0.73060603731277618</v>
      </c>
      <c r="C4" s="2">
        <f>dafSigmoid(Table6[[#This Row],[OLi1]])</f>
        <v>0.19682085555489848</v>
      </c>
    </row>
    <row r="7" spans="1:3" x14ac:dyDescent="0.3">
      <c r="A7">
        <v>0.19430643802677072</v>
      </c>
    </row>
    <row r="8" spans="1:3" x14ac:dyDescent="0.3">
      <c r="A8">
        <v>0.35996679337982107</v>
      </c>
    </row>
    <row r="9" spans="1:3" x14ac:dyDescent="0.3">
      <c r="A9">
        <v>0.51416992697191088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0" zoomScaleNormal="70" workbookViewId="0">
      <selection activeCell="B45" sqref="B45"/>
    </sheetView>
  </sheetViews>
  <sheetFormatPr defaultRowHeight="14.4" x14ac:dyDescent="0.3"/>
  <cols>
    <col min="18" max="19" width="14.5546875" bestFit="1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tabSelected="1" workbookViewId="0">
      <selection activeCell="C9" sqref="C9"/>
    </sheetView>
  </sheetViews>
  <sheetFormatPr defaultRowHeight="14.4" x14ac:dyDescent="0.3"/>
  <cols>
    <col min="1" max="1" width="14.33203125" bestFit="1" customWidth="1"/>
  </cols>
  <sheetData>
    <row r="1" spans="1:2" x14ac:dyDescent="0.3">
      <c r="A1" t="s">
        <v>0</v>
      </c>
      <c r="B1">
        <f>COLUMNS(InputLayer[])</f>
        <v>2</v>
      </c>
    </row>
    <row r="2" spans="1:2" x14ac:dyDescent="0.3">
      <c r="A2" t="s">
        <v>2</v>
      </c>
      <c r="B2">
        <v>4</v>
      </c>
    </row>
    <row r="3" spans="1:2" x14ac:dyDescent="0.3">
      <c r="A3" t="s">
        <v>1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Data</vt:lpstr>
      <vt:lpstr>HiddenLayer</vt:lpstr>
      <vt:lpstr>Output</vt:lpstr>
      <vt:lpstr>Summary</vt:lpstr>
      <vt:lpstr>NN</vt:lpstr>
      <vt:lpstr>Parameters</vt:lpstr>
      <vt:lpstr>HiddenLayerSize</vt:lpstr>
      <vt:lpstr>InputLayerSize</vt:lpstr>
      <vt:lpstr>OutputLayerSize</vt:lpstr>
      <vt:lpstr>W</vt:lpstr>
      <vt:lpstr>W_1</vt:lpstr>
      <vt:lpstr>W_2</vt:lpstr>
      <vt:lpstr>W_3</vt:lpstr>
      <vt:lpstr>W1_</vt:lpstr>
      <vt:lpstr>W2_</vt:lpstr>
      <vt:lpstr>X</vt:lpstr>
      <vt:lpstr>X_1</vt:lpstr>
      <vt:lpstr>X_2</vt:lpstr>
      <vt:lpstr>X_3</vt:lpstr>
      <vt:lpstr>X1_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2019-01-02T20:00:43Z</dcterms:created>
  <dcterms:modified xsi:type="dcterms:W3CDTF">2019-02-24T17:38:24Z</dcterms:modified>
</cp:coreProperties>
</file>